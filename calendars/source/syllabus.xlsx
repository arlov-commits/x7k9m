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155A5EBA-39D4-4728-975E-A45EA2048F57}" xr6:coauthVersionLast="47" xr6:coauthVersionMax="47" xr10:uidLastSave="{00000000-0000-0000-0000-000000000000}"/>
  <bookViews>
    <workbookView xWindow="-110" yWindow="-110" windowWidth="19420" windowHeight="10300" tabRatio="719" activeTab="3" xr2:uid="{00000000-000D-0000-FFFF-FFFF00000000}"/>
  </bookViews>
  <sheets>
    <sheet name="BuddhistHermntk (BudHerm)" sheetId="1" r:id="rId1"/>
    <sheet name="Shurangama Sutra (楞嚴經)" sheetId="2" r:id="rId2"/>
    <sheet name="Sanskrit (संस्कृतम्)" sheetId="6" r:id="rId3"/>
    <sheet name="Yogācāra (Yogācāra)" sheetId="10" r:id="rId4"/>
    <sheet name="_Recurring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1" i="10" l="1"/>
  <c r="A57" i="10"/>
  <c r="A42" i="10"/>
  <c r="A59" i="10"/>
  <c r="A60" i="10" s="1"/>
  <c r="A62" i="10" s="1"/>
  <c r="A63" i="10" s="1"/>
  <c r="A54" i="10"/>
  <c r="A55" i="10" s="1"/>
  <c r="A56" i="10" s="1"/>
  <c r="A50" i="10"/>
  <c r="A51" i="10" s="1"/>
  <c r="A52" i="10" s="1"/>
  <c r="A44" i="10"/>
  <c r="A45" i="10" s="1"/>
  <c r="A46" i="10" s="1"/>
  <c r="A47" i="10" s="1"/>
  <c r="A48" i="10" s="1"/>
  <c r="A39" i="10"/>
  <c r="A40" i="10" s="1"/>
  <c r="A41" i="10" s="1"/>
  <c r="A34" i="10"/>
  <c r="A35" i="10" s="1"/>
  <c r="A36" i="10" s="1"/>
  <c r="A37" i="10" s="1"/>
  <c r="A30" i="10"/>
  <c r="A31" i="10" s="1"/>
  <c r="A32" i="10" s="1"/>
  <c r="A23" i="10"/>
  <c r="A24" i="10" s="1"/>
  <c r="A25" i="10" s="1"/>
  <c r="A26" i="10" s="1"/>
  <c r="A27" i="10" s="1"/>
  <c r="A28" i="10" s="1"/>
  <c r="A19" i="10"/>
  <c r="A20" i="10" s="1"/>
  <c r="A21" i="10" s="1"/>
  <c r="A12" i="10"/>
  <c r="A13" i="10" s="1"/>
  <c r="A14" i="10" s="1"/>
  <c r="A15" i="10" s="1"/>
  <c r="A16" i="10" s="1"/>
  <c r="A17" i="10" s="1"/>
  <c r="A6" i="10"/>
  <c r="A7" i="10" s="1"/>
  <c r="A8" i="10" s="1"/>
  <c r="A9" i="10" s="1"/>
  <c r="A10" i="10" s="1"/>
  <c r="A4" i="10"/>
</calcChain>
</file>

<file path=xl/sharedStrings.xml><?xml version="1.0" encoding="utf-8"?>
<sst xmlns="http://schemas.openxmlformats.org/spreadsheetml/2006/main" count="260" uniqueCount="142">
  <si>
    <t>date</t>
  </si>
  <si>
    <t>type</t>
  </si>
  <si>
    <t>title</t>
  </si>
  <si>
    <t>notes</t>
  </si>
  <si>
    <t>Reading</t>
  </si>
  <si>
    <t>Aśvaghoṣa, Life of the Buddha</t>
  </si>
  <si>
    <t>Buddhacarita: In Praise of the Buddha's Acts</t>
  </si>
  <si>
    <t>The Story of Gotama Buddha: The Nidāna-kathā of the Jātakaṭṭhakathā</t>
  </si>
  <si>
    <t>Presentation</t>
  </si>
  <si>
    <t>Han Shan, "Reply to Officer Zheng on the One Great Matter"</t>
  </si>
  <si>
    <t>Xuyun, Empty Cloud: The Autobiography of the Chinese Zen Master Hsu Yun</t>
  </si>
  <si>
    <t>Master Xuyun, "Song of the Skin Bag"</t>
  </si>
  <si>
    <t>Paper</t>
  </si>
  <si>
    <t>Final paper topic proposal due</t>
  </si>
  <si>
    <t>Final paper due</t>
  </si>
  <si>
    <t>Student presentations / contemplative exercise</t>
  </si>
  <si>
    <t>Exam</t>
  </si>
  <si>
    <t>Midterm</t>
  </si>
  <si>
    <t>class</t>
  </si>
  <si>
    <t>weekday</t>
  </si>
  <si>
    <t>time</t>
  </si>
  <si>
    <t>start_date</t>
  </si>
  <si>
    <t>end_date</t>
  </si>
  <si>
    <t>every_n_weeks</t>
  </si>
  <si>
    <t>auto_number</t>
  </si>
  <si>
    <t>skip_dates</t>
  </si>
  <si>
    <t>Journal entry</t>
  </si>
  <si>
    <t>Sunday</t>
  </si>
  <si>
    <t>17:00</t>
  </si>
  <si>
    <t>TRUE</t>
  </si>
  <si>
    <t>2026-09-27; 2026-11-15; 2026-11-22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</si>
  <si>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</si>
  <si>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</si>
  <si>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</si>
  <si>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</si>
  <si>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</si>
  <si>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</si>
  <si>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</si>
  <si>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</si>
  <si>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</si>
  <si>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</si>
  <si>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</si>
  <si>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</si>
  <si>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Monday</t>
  </si>
  <si>
    <t>First quiz on writing vowels</t>
  </si>
  <si>
    <t>Second quiz on writing vowels</t>
  </si>
  <si>
    <t>Final Exam - TBA</t>
  </si>
  <si>
    <t xml:space="preserve">Bodhidharma. "Bodhidharma's Breakthrough Sermon" in The Zen Teaching of Bodhidharma. Pages 88-124. </t>
  </si>
  <si>
    <t>Sadler, A. I. The Ten Foot Square Hut. Pages 1-21.</t>
  </si>
  <si>
    <t xml:space="preserve">"Skinny Gotami &amp; the Mustard Seed" (ThigA 10.1), by 
Andrew Olendzki. Access to Insight. </t>
  </si>
  <si>
    <t>Hallisey, Charles, Trans. Therīgāthā: Poems of The First Buddhist Women. Cambridge: Harvard Univ, 2015. (Selections)</t>
  </si>
  <si>
    <t>Grant, Beata. Daughters of Emptiness: Poems of Chinese 
Buddhist Nuns. Boston: Wisdom Publications, 2003. 
Selections.</t>
  </si>
  <si>
    <t xml:space="preserve">[student led discussion. Choose a Therīgāthā poem or 
Chinese Buddhist Nun poem </t>
  </si>
  <si>
    <t xml:space="preserve">"Master Xuyun's Discourses and Dharma Words." Chan and Zen Teaching, Vol. 1. York Beach, ME: Samuel Weiser, Pages 19-48. 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</si>
  <si>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</si>
  <si>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</si>
  <si>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Nyanasampanno, Boowa, and Siri Buddhasukh. The 
Venerable Phra Acharn Mun Bhuridatta Thera, 2009, pages 3-68, 129-181, 196-210, 283-286, 45 1|-455.</t>
  </si>
  <si>
    <t>Buddhist monk Ven. Jianyue Duti, The Old Man Who Sees the Moon / translated, edited, and researched by Lynne Mallinson.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</si>
  <si>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</si>
  <si>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 xml:space="preserve">Bhikkhu Silaratano. Mae Chee Kaew. A Forest Dhamma 
Publication, 2017. Part One &amp; Two. 
Dhamma Eye," in A Taste of Freedom. Sri Lanka: The Wheel Publication, 1988. Pages 43-63 </t>
  </si>
  <si>
    <t>Master Hsuan Hua, The Ten DharmaRealms Are Not 
Beyond A Single Thought. New translation, 2019.</t>
  </si>
  <si>
    <t xml:space="preserve">How Buddhism Changed My Life. BTTS, 2003. Pages 5-7, 8-15, 56-64, 98-105. </t>
  </si>
  <si>
    <t>Śūraṅgama Sūtra, Prologue and Chapter I “The Nature and Location of the Mind.” pp. 5-38</t>
  </si>
  <si>
    <t>Śūraṅgama Sūtra, Chapter II “The Nature of Visual Awareness,” pp. 41-86</t>
  </si>
  <si>
    <t>Śūraṅgama Sūtra, Chapter III “The Matrix of the Thus-Come One,” pp. 89-137</t>
  </si>
  <si>
    <t>Śūraṅgama Sūtra, Chapter IV “The Coming into Being of the World of Illusion,” pp. 141-166</t>
  </si>
  <si>
    <t>Śūraṅgama Sūtra, Chapter V “Instructions for Practice,” pp. 169-201 </t>
  </si>
  <si>
    <t>Śūraṅgama Sūtra, Chapter VI “Twenty-Five Sages,” pp. 205-233</t>
  </si>
  <si>
    <t>Śūraṅgama Sūtra, Chapter VI “Twenty-Five Sages,” pp. 234-259</t>
  </si>
  <si>
    <t>Śūraṅgama Sūtra, Chapter VII “Four Clear and Definitive Instructions on Purity,” pp. 263-276</t>
  </si>
  <si>
    <t>Śūraṅgama Sūtra, Chapter VIII “The Śūraṅgama Mantra,” pp. 279-310 </t>
  </si>
  <si>
    <t>Śūraṅgama Sūtra, Chapter IX “Levels of Being,” pp. 313-345</t>
  </si>
  <si>
    <t>Śūraṅgama Sūtra, Chapter IX “Levels of Being,” pp. 346-363</t>
  </si>
  <si>
    <t>Śūraṅgama Sūtra, Chapter IX “Levels of Being,” pp. 364-388</t>
  </si>
  <si>
    <t>Śūraṅgama Sūtra, Chapter X, “Fifty Demonic States of Mind,” pp. 391-428</t>
  </si>
  <si>
    <t>Śūraṅgama Sūtra, Chapter X, “Fifty Demonic States of Mind,” pp. 429-464</t>
  </si>
  <si>
    <t xml:space="preserve">Sying An [Xing 'an]. An Exhortation to Resolve Upon Bodhi. Reader pp. 1-12. Consult book for commentary. </t>
  </si>
  <si>
    <t>BudHerm</t>
  </si>
  <si>
    <t>楞嚴經</t>
  </si>
  <si>
    <t>(paper due by 5pm – upload to Google Classroom)</t>
  </si>
  <si>
    <r>
      <t xml:space="preserve">Waldron’s </t>
    </r>
    <r>
      <rPr>
        <i/>
        <sz val="11"/>
        <color rgb="FF000000"/>
        <rFont val="Times New Roman"/>
        <family val="1"/>
      </rPr>
      <t xml:space="preserve">Making Sense of Mind Only </t>
    </r>
    <r>
      <rPr>
        <sz val="11"/>
        <color rgb="FF000000"/>
        <rFont val="Times New Roman"/>
        <family val="1"/>
      </rPr>
      <t>[chapter 4 to the end] </t>
    </r>
  </si>
  <si>
    <r>
      <t xml:space="preserve">Vasubandhu’s </t>
    </r>
    <r>
      <rPr>
        <b/>
        <i/>
        <sz val="11"/>
        <color rgb="FF000000"/>
        <rFont val="Times New Roman"/>
        <family val="1"/>
      </rPr>
      <t xml:space="preserve">Triṃśikā </t>
    </r>
    <r>
      <rPr>
        <b/>
        <sz val="11"/>
        <color rgb="FF000000"/>
        <rFont val="Times New Roman"/>
        <family val="1"/>
      </rPr>
      <t>(Thirty Verses) </t>
    </r>
  </si>
  <si>
    <r>
      <t>Ācārya Vasubandhu’s Thirty Verses (Triṁśikā)</t>
    </r>
    <r>
      <rPr>
        <sz val="11"/>
        <color rgb="FF000000"/>
        <rFont val="Times New Roman"/>
        <family val="1"/>
      </rPr>
      <t xml:space="preserve">, tr. and explained by Mattia Salvini based  on Sthiramati’s commentary. Read the verses carefully (reader) and skim the commentary  (pp. 20-119 </t>
    </r>
    <r>
      <rPr>
        <u/>
        <sz val="11"/>
        <color rgb="FF0000FF"/>
        <rFont val="Times New Roman"/>
        <family val="1"/>
      </rPr>
      <t>https://d3zr9vspdnjxi.cloudfront.net/sites/saugata1/sup/7739033--c-rya Vasubandhu-s-Thirty-Verses-Tri-ik-A-Manual-for-Students-2022.pdf</t>
    </r>
    <r>
      <rPr>
        <sz val="11"/>
        <color rgb="FF000000"/>
        <rFont val="Times New Roman"/>
        <family val="1"/>
      </rPr>
      <t>) as needed. This is  an introductory framework for the whole semester. You don’t need to master everything  this week. We will unpack these verses during the rest of the semester. </t>
    </r>
  </si>
  <si>
    <t>Yogācāra’s goal </t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</si>
  <si>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1-2 </t>
    </r>
  </si>
  <si>
    <r>
      <t xml:space="preserve">Laṅkāvatārasūtra </t>
    </r>
    <r>
      <rPr>
        <sz val="11"/>
        <color rgb="FF000000"/>
        <rFont val="Times New Roman"/>
        <family val="1"/>
      </rPr>
      <t>pages 71-83, 90-93, and 181-5 (LXIV) </t>
    </r>
  </si>
  <si>
    <r>
      <t xml:space="preserve">Saddharmasmṛtyupasthānasūtra </t>
    </r>
    <r>
      <rPr>
        <sz val="11"/>
        <color rgb="FF000000"/>
        <rFont val="Times New Roman"/>
        <family val="1"/>
      </rPr>
      <t>chapter 2, pages 509-515 </t>
    </r>
  </si>
  <si>
    <r>
      <t xml:space="preserve">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 xml:space="preserve">chap. 1, pages 9-20, 39-43, and 298-302 </t>
    </r>
    <r>
      <rPr>
        <sz val="11"/>
        <color rgb="FF222222"/>
        <rFont val="Times New Roman"/>
        <family val="1"/>
      </rPr>
      <t>(Verses 1-2ab) </t>
    </r>
  </si>
  <si>
    <r>
      <t xml:space="preserve">Laukikamārga </t>
    </r>
    <r>
      <rPr>
        <sz val="11"/>
        <color rgb="FF000000"/>
        <rFont val="Times New Roman"/>
        <family val="1"/>
      </rPr>
      <t xml:space="preserve">(mundane path) of the </t>
    </r>
    <r>
      <rPr>
        <i/>
        <sz val="11"/>
        <color rgb="FF000000"/>
        <rFont val="Times New Roman"/>
        <family val="1"/>
      </rPr>
      <t xml:space="preserve">Śrāvakabhūmi </t>
    </r>
    <r>
      <rPr>
        <sz val="11"/>
        <color rgb="FF000000"/>
        <rFont val="Times New Roman"/>
        <family val="1"/>
      </rPr>
      <t>vol. 2 (=</t>
    </r>
    <r>
      <rPr>
        <i/>
        <sz val="11"/>
        <color rgb="FF000000"/>
        <rFont val="Times New Roman"/>
        <family val="1"/>
      </rPr>
      <t>Yogācārabhūmi</t>
    </r>
    <r>
      <rPr>
        <sz val="11"/>
        <color rgb="FF000000"/>
        <rFont val="Times New Roman"/>
        <family val="1"/>
      </rPr>
      <t>), pages 446- 452 </t>
    </r>
  </si>
  <si>
    <t>ālaya </t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</si>
  <si>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2-5a </t>
    </r>
  </si>
  <si>
    <r>
      <t xml:space="preserve">The Scripture on the Explication of Underlying Meaning </t>
    </r>
    <r>
      <rPr>
        <sz val="11"/>
        <color rgb="FF000000"/>
        <rFont val="Times New Roman"/>
        <family val="1"/>
      </rPr>
      <t>(</t>
    </r>
    <r>
      <rPr>
        <i/>
        <sz val="11"/>
        <color rgb="FF000000"/>
        <rFont val="Times New Roman"/>
        <family val="1"/>
      </rPr>
      <t>Saṃdhinirmocana Sūtra</t>
    </r>
    <r>
      <rPr>
        <sz val="11"/>
        <color rgb="FF000000"/>
        <rFont val="Times New Roman"/>
        <family val="1"/>
      </rPr>
      <t>) pages  27-29 </t>
    </r>
  </si>
  <si>
    <r>
      <t xml:space="preserve">Asaṅga’s </t>
    </r>
    <r>
      <rPr>
        <i/>
        <sz val="11"/>
        <color rgb="FF000000"/>
        <rFont val="Times New Roman"/>
        <family val="1"/>
      </rPr>
      <t xml:space="preserve">The Summary of the Great Vehicle </t>
    </r>
    <r>
      <rPr>
        <sz val="11"/>
        <color rgb="FF000000"/>
        <rFont val="Times New Roman"/>
        <family val="1"/>
      </rPr>
      <t>(</t>
    </r>
    <r>
      <rPr>
        <i/>
        <sz val="11"/>
        <color rgb="FF000000"/>
        <rFont val="Times New Roman"/>
        <family val="1"/>
      </rPr>
      <t>Mahāyānasaṃgraha</t>
    </r>
    <r>
      <rPr>
        <sz val="11"/>
        <color rgb="FF000000"/>
        <rFont val="Times New Roman"/>
        <family val="1"/>
      </rPr>
      <t>) chapter 1 pages 13-36 </t>
    </r>
  </si>
  <si>
    <r>
      <t xml:space="preserve">Pravṛtti </t>
    </r>
    <r>
      <rPr>
        <sz val="11"/>
        <color rgb="FF000000"/>
        <rFont val="Times New Roman"/>
        <family val="1"/>
      </rPr>
      <t xml:space="preserve">and </t>
    </r>
    <r>
      <rPr>
        <i/>
        <sz val="11"/>
        <color rgb="FF000000"/>
        <rFont val="Times New Roman"/>
        <family val="1"/>
      </rPr>
      <t xml:space="preserve">Nivṛtti Portions </t>
    </r>
    <r>
      <rPr>
        <sz val="11"/>
        <color rgb="FF000000"/>
        <rFont val="Times New Roman"/>
        <family val="1"/>
      </rPr>
      <t xml:space="preserve">of the </t>
    </r>
    <r>
      <rPr>
        <i/>
        <sz val="11"/>
        <color rgb="FF000000"/>
        <rFont val="Times New Roman"/>
        <family val="1"/>
      </rPr>
      <t xml:space="preserve">Viniścayasaṃgrahaṇī </t>
    </r>
    <r>
      <rPr>
        <sz val="11"/>
        <color rgb="FF000000"/>
        <rFont val="Times New Roman"/>
        <family val="1"/>
      </rPr>
      <t xml:space="preserve">of the </t>
    </r>
    <r>
      <rPr>
        <i/>
        <sz val="11"/>
        <color rgb="FF000000"/>
        <rFont val="Times New Roman"/>
        <family val="1"/>
      </rPr>
      <t xml:space="preserve">Yogācārabhūmi </t>
    </r>
    <r>
      <rPr>
        <sz val="11"/>
        <color rgb="FF000000"/>
        <rFont val="Times New Roman"/>
        <family val="1"/>
      </rPr>
      <t xml:space="preserve">in  Waldron’s </t>
    </r>
    <r>
      <rPr>
        <i/>
        <sz val="11"/>
        <color rgb="FF000000"/>
        <rFont val="Times New Roman"/>
        <family val="1"/>
      </rPr>
      <t xml:space="preserve">The Buddhist Unconscious </t>
    </r>
    <r>
      <rPr>
        <sz val="11"/>
        <color rgb="FF000000"/>
        <rFont val="Times New Roman"/>
        <family val="1"/>
      </rPr>
      <t>pages 178-89 </t>
    </r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</si>
  <si>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Pañcaskandaka </t>
    </r>
    <r>
      <rPr>
        <sz val="11"/>
        <color rgb="FF000000"/>
        <rFont val="Times New Roman"/>
        <family val="1"/>
      </rPr>
      <t>with Sthiramati’s commentary “The Consciousness Heap” pages 327-344  </t>
    </r>
  </si>
  <si>
    <r>
      <t xml:space="preserve">Saṃdhinirmocana Sūtra </t>
    </r>
    <r>
      <rPr>
        <sz val="11"/>
        <color rgb="FF000000"/>
        <rFont val="Times New Roman"/>
        <family val="1"/>
      </rPr>
      <t>chapter 6, pages 51-55 </t>
    </r>
  </si>
  <si>
    <r>
      <t xml:space="preserve">ālaya </t>
    </r>
    <r>
      <rPr>
        <b/>
        <sz val="11"/>
        <color rgb="FF000000"/>
        <rFont val="Times New Roman"/>
        <family val="1"/>
      </rPr>
      <t>(cont.) </t>
    </r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</si>
  <si>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2cd-4 </t>
    </r>
  </si>
  <si>
    <r>
      <t xml:space="preserve">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>chapters 2-3 (Verses 2cd-4), pp. 47-111 </t>
    </r>
  </si>
  <si>
    <r>
      <t xml:space="preserve">Maitreya’s </t>
    </r>
    <r>
      <rPr>
        <i/>
        <sz val="11"/>
        <color rgb="FF000000"/>
        <rFont val="Times New Roman"/>
        <family val="1"/>
      </rPr>
      <t xml:space="preserve">Distinguishing the Middle from the Extremes </t>
    </r>
    <r>
      <rPr>
        <sz val="11"/>
        <color rgb="FF000000"/>
        <rFont val="Times New Roman"/>
        <family val="1"/>
      </rPr>
      <t>(</t>
    </r>
    <r>
      <rPr>
        <i/>
        <sz val="11"/>
        <color rgb="FF000000"/>
        <rFont val="Times New Roman"/>
        <family val="1"/>
      </rPr>
      <t>Madhyāntavibhāgabhāṣyam</t>
    </r>
    <r>
      <rPr>
        <sz val="11"/>
        <color rgb="FF000000"/>
        <rFont val="Times New Roman"/>
        <family val="1"/>
      </rPr>
      <t>)  pages 176-77 </t>
    </r>
  </si>
  <si>
    <t>kliṣṭamanas </t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</si>
  <si>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5-8a</t>
    </r>
  </si>
  <si>
    <r>
      <t xml:space="preserve">Paramārthagāthās </t>
    </r>
    <r>
      <rPr>
        <sz val="11"/>
        <color rgb="FF000000"/>
        <rFont val="Times New Roman"/>
        <family val="1"/>
      </rPr>
      <t xml:space="preserve">1-27 and 42-44 (tr. Wayman) and 28-41 and their commentary (tr.  Schmithausen) from the </t>
    </r>
    <r>
      <rPr>
        <i/>
        <sz val="11"/>
        <color rgb="FF000000"/>
        <rFont val="Times New Roman"/>
        <family val="1"/>
      </rPr>
      <t xml:space="preserve">Yogācārabhūmi </t>
    </r>
    <r>
      <rPr>
        <sz val="11"/>
        <color rgb="FF000000"/>
        <rFont val="Times New Roman"/>
        <family val="1"/>
      </rPr>
      <t>pages 335-341 and 229-241, respectively </t>
    </r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</si>
  <si>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Pañcaskandhaka </t>
    </r>
    <r>
      <rPr>
        <sz val="11"/>
        <color rgb="FF000000"/>
        <rFont val="Times New Roman"/>
        <family val="1"/>
      </rPr>
      <t>with Sthiramati’s commentary “The Afflicted Mind” pages 344-47 </t>
    </r>
  </si>
  <si>
    <r>
      <t xml:space="preserve">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>chapter 4, pages 113-122, 128-132, 137- 140, 142-144 (Verse 5-7) </t>
    </r>
  </si>
  <si>
    <r>
      <t xml:space="preserve">The Questions of King Milinda </t>
    </r>
    <r>
      <rPr>
        <sz val="11"/>
        <color rgb="FF000000"/>
        <rFont val="Times New Roman"/>
        <family val="1"/>
      </rPr>
      <t>2.1.1 pages 40-45  </t>
    </r>
  </si>
  <si>
    <r>
      <t xml:space="preserve">Saddharmasmṛtyupasthānasūtra </t>
    </r>
    <r>
      <rPr>
        <sz val="11"/>
        <color rgb="FF000000"/>
        <rFont val="Times New Roman"/>
        <family val="1"/>
      </rPr>
      <t>chapter 2, pages 503-505 </t>
    </r>
  </si>
  <si>
    <r>
      <t>pravṛttivijñāna</t>
    </r>
    <r>
      <rPr>
        <b/>
        <sz val="11"/>
        <color rgb="FF000000"/>
        <rFont val="Times New Roman"/>
        <family val="1"/>
      </rPr>
      <t>s </t>
    </r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</si>
  <si>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8b-16 </t>
    </r>
  </si>
  <si>
    <r>
      <t xml:space="preserve">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>chapter 5, pages 153-161 (Verses 8-9),  164-169 (Verse 10), 172-181 (Verse 11), 185-189 (Verse 12ab), 196-205 (Verse 12cd 14ab), 210-212 (Verse 14cd), 219-229 (Verses 15-16) </t>
    </r>
  </si>
  <si>
    <r>
      <t xml:space="preserve">Asaṅga’s </t>
    </r>
    <r>
      <rPr>
        <i/>
        <sz val="11"/>
        <color rgb="FF000000"/>
        <rFont val="Times New Roman"/>
        <family val="1"/>
      </rPr>
      <t xml:space="preserve">Mahāyānasaṃgraha </t>
    </r>
    <r>
      <rPr>
        <sz val="11"/>
        <color rgb="FF000000"/>
        <rFont val="Times New Roman"/>
        <family val="1"/>
      </rPr>
      <t>page 11 </t>
    </r>
  </si>
  <si>
    <r>
      <t>pravṛttivijñāna</t>
    </r>
    <r>
      <rPr>
        <b/>
        <sz val="11"/>
        <color rgb="FF000000"/>
        <rFont val="Times New Roman"/>
        <family val="1"/>
      </rPr>
      <t>s (cont.) </t>
    </r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</si>
  <si>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17-20 </t>
    </r>
  </si>
  <si>
    <r>
      <t xml:space="preserve">MN 140 </t>
    </r>
    <r>
      <rPr>
        <i/>
        <sz val="11"/>
        <color rgb="FF000000"/>
        <rFont val="Times New Roman"/>
        <family val="1"/>
      </rPr>
      <t>Chadhātuvibhāṅgasutta </t>
    </r>
  </si>
  <si>
    <r>
      <t xml:space="preserve">Saddharmasmṛtyupasthānasūtra </t>
    </r>
    <r>
      <rPr>
        <sz val="11"/>
        <color rgb="FF000000"/>
        <rFont val="Times New Roman"/>
        <family val="1"/>
      </rPr>
      <t>chapter 2, pages 343-455  </t>
    </r>
  </si>
  <si>
    <r>
      <t xml:space="preserve">Optional: </t>
    </r>
    <r>
      <rPr>
        <i/>
        <sz val="11"/>
        <color rgb="FF000000"/>
        <rFont val="Times New Roman"/>
        <family val="1"/>
      </rPr>
      <t xml:space="preserve">Saddharmasmṛtyupasthānasūtra </t>
    </r>
    <r>
      <rPr>
        <sz val="11"/>
        <color rgb="FF000000"/>
        <rFont val="Times New Roman"/>
        <family val="1"/>
      </rPr>
      <t>(Vol 2), Appendix 4, pages 222-301 CE: four foundations of mindfulness with dependent arising</t>
    </r>
  </si>
  <si>
    <t>three natures </t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</si>
  <si>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20-28</t>
    </r>
  </si>
  <si>
    <r>
      <t xml:space="preserve">Maitreya and Vasubandhu’s </t>
    </r>
    <r>
      <rPr>
        <i/>
        <sz val="11"/>
        <color rgb="FF000000"/>
        <rFont val="Times New Roman"/>
        <family val="1"/>
      </rPr>
      <t xml:space="preserve">Madhyāntavibhāgabhāṣyam </t>
    </r>
    <r>
      <rPr>
        <sz val="11"/>
        <color rgb="FF000000"/>
        <rFont val="Times New Roman"/>
        <family val="1"/>
      </rPr>
      <t xml:space="preserve">chapter 1, pages 117-130 Asaṅga’s </t>
    </r>
    <r>
      <rPr>
        <i/>
        <sz val="11"/>
        <color rgb="FF000000"/>
        <rFont val="Times New Roman"/>
        <family val="1"/>
      </rPr>
      <t xml:space="preserve">Mahāyānasaṃgraha </t>
    </r>
    <r>
      <rPr>
        <sz val="11"/>
        <color rgb="FF000000"/>
        <rFont val="Times New Roman"/>
        <family val="1"/>
      </rPr>
      <t>chapters 2-3, pages 37-70 </t>
    </r>
  </si>
  <si>
    <r>
      <t>Vasubandhu’s “The Three Natures Exposition” (</t>
    </r>
    <r>
      <rPr>
        <i/>
        <sz val="11"/>
        <color rgb="FF000000"/>
        <rFont val="Times New Roman"/>
        <family val="1"/>
      </rPr>
      <t>Trisvabhāvanirdeśaḥ</t>
    </r>
    <r>
      <rPr>
        <sz val="11"/>
        <color rgb="FF000000"/>
        <rFont val="Times New Roman"/>
        <family val="1"/>
      </rPr>
      <t xml:space="preserve">) pages 244-248 Maitreya and Vasubandhu’s </t>
    </r>
    <r>
      <rPr>
        <i/>
        <sz val="11"/>
        <color rgb="FF000000"/>
        <rFont val="Times New Roman"/>
        <family val="1"/>
      </rPr>
      <t xml:space="preserve">Madhyāntavibhāgabhāṣyam </t>
    </r>
    <r>
      <rPr>
        <sz val="11"/>
        <color rgb="FF000000"/>
        <rFont val="Times New Roman"/>
        <family val="1"/>
      </rPr>
      <t>page 178-183 </t>
    </r>
  </si>
  <si>
    <r>
      <t xml:space="preserve">🡪 </t>
    </r>
    <r>
      <rPr>
        <sz val="11"/>
        <color rgb="FF000000"/>
        <rFont val="Times New Roman"/>
        <family val="1"/>
      </rPr>
      <t>quick in-class paper topic check in</t>
    </r>
  </si>
  <si>
    <t>three natures (cont.) </t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</si>
  <si>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20-28 </t>
    </r>
  </si>
  <si>
    <r>
      <t xml:space="preserve">Maitreya and Vasubandhu’s </t>
    </r>
    <r>
      <rPr>
        <i/>
        <sz val="11"/>
        <color rgb="FF000000"/>
        <rFont val="Times New Roman"/>
        <family val="1"/>
      </rPr>
      <t xml:space="preserve">Madhyāntavibhāgabhāṣyam </t>
    </r>
    <r>
      <rPr>
        <sz val="11"/>
        <color rgb="FF000000"/>
        <rFont val="Times New Roman"/>
        <family val="1"/>
      </rPr>
      <t>chapter 3, pages 143-159 </t>
    </r>
  </si>
  <si>
    <t>Brennan’s “The Three Natures and the Path to Liberation in Yogācāra-Vijñānavāda  Thought” </t>
  </si>
  <si>
    <t>Waldron’s “A Yogācārin approach to Collective Illusions: Cultural Unconscious, Implicit  Bias and Racism without Races” </t>
  </si>
  <si>
    <t>Bayo Akomolafe’s “Dear White People” </t>
  </si>
  <si>
    <r>
      <t xml:space="preserve">practicing </t>
    </r>
    <r>
      <rPr>
        <b/>
        <i/>
        <sz val="11"/>
        <color rgb="FF000000"/>
        <rFont val="Times New Roman"/>
        <family val="1"/>
      </rPr>
      <t xml:space="preserve">vijñaptimātratā </t>
    </r>
    <r>
      <rPr>
        <b/>
        <sz val="11"/>
        <color rgb="FF000000"/>
        <rFont val="Times New Roman"/>
        <family val="1"/>
      </rPr>
      <t>on the bodhisattva path </t>
    </r>
  </si>
  <si>
    <r>
      <t xml:space="preserve">Asaṅga’s </t>
    </r>
    <r>
      <rPr>
        <i/>
        <sz val="11"/>
        <color rgb="FF000000"/>
        <rFont val="Times New Roman"/>
        <family val="1"/>
      </rPr>
      <t xml:space="preserve">Mahāyānasaṃgraha </t>
    </r>
    <r>
      <rPr>
        <sz val="11"/>
        <color rgb="FF000000"/>
        <rFont val="Times New Roman"/>
        <family val="1"/>
      </rPr>
      <t>chapter 4, pages 71-77 </t>
    </r>
  </si>
  <si>
    <r>
      <t xml:space="preserve">Maitreya and Vasubandhu’s </t>
    </r>
    <r>
      <rPr>
        <i/>
        <sz val="11"/>
        <color rgb="FF000000"/>
        <rFont val="Times New Roman"/>
        <family val="1"/>
      </rPr>
      <t xml:space="preserve">Madhyāntavibhāgabhāṣyam </t>
    </r>
    <r>
      <rPr>
        <sz val="11"/>
        <color rgb="FF000000"/>
        <rFont val="Times New Roman"/>
        <family val="1"/>
      </rPr>
      <t>chapter 4, pages 161-172 </t>
    </r>
  </si>
  <si>
    <r>
      <t xml:space="preserve">Bodhisattvabhūmi </t>
    </r>
    <r>
      <rPr>
        <sz val="11"/>
        <color rgb="FF000000"/>
        <rFont val="Times New Roman"/>
        <family val="1"/>
      </rPr>
      <t>(=</t>
    </r>
    <r>
      <rPr>
        <i/>
        <sz val="11"/>
        <color rgb="FF000000"/>
        <rFont val="Times New Roman"/>
        <family val="1"/>
      </rPr>
      <t>Yogācārabhūmi</t>
    </r>
    <r>
      <rPr>
        <sz val="11"/>
        <color rgb="FF000000"/>
        <rFont val="Times New Roman"/>
        <family val="1"/>
      </rPr>
      <t xml:space="preserve">) in </t>
    </r>
    <r>
      <rPr>
        <i/>
        <sz val="11"/>
        <color rgb="FF000000"/>
        <rFont val="Times New Roman"/>
        <family val="1"/>
      </rPr>
      <t xml:space="preserve">The Bodhisattva Path to Unsurpassed  Enlightenment </t>
    </r>
    <r>
      <rPr>
        <sz val="11"/>
        <color rgb="FF000000"/>
        <rFont val="Times New Roman"/>
        <family val="1"/>
      </rPr>
      <t>pages 402-413 and 450-463 </t>
    </r>
  </si>
  <si>
    <r>
      <t xml:space="preserve">stages and </t>
    </r>
    <r>
      <rPr>
        <b/>
        <i/>
        <sz val="11"/>
        <color rgb="FF000000"/>
        <rFont val="Times New Roman"/>
        <family val="1"/>
      </rPr>
      <t>pāramitā</t>
    </r>
    <r>
      <rPr>
        <b/>
        <sz val="11"/>
        <color rgb="FF000000"/>
        <rFont val="Times New Roman"/>
        <family val="1"/>
      </rPr>
      <t>s on the bodhisattva path </t>
    </r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</si>
  <si>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 29  </t>
    </r>
  </si>
  <si>
    <r>
      <t xml:space="preserve">Asaṅga’s </t>
    </r>
    <r>
      <rPr>
        <i/>
        <sz val="11"/>
        <color rgb="FF000000"/>
        <rFont val="Times New Roman"/>
        <family val="1"/>
      </rPr>
      <t xml:space="preserve">Mahāyānasaṃgraha </t>
    </r>
    <r>
      <rPr>
        <sz val="11"/>
        <color rgb="FF000000"/>
        <rFont val="Times New Roman"/>
        <family val="1"/>
      </rPr>
      <t>chapters 5-9, pages 79-101; optional: </t>
    </r>
  </si>
  <si>
    <r>
      <t xml:space="preserve">Saṃdhinirmocanasūtra </t>
    </r>
    <r>
      <rPr>
        <sz val="11"/>
        <color rgb="FF000000"/>
        <rFont val="Times New Roman"/>
        <family val="1"/>
      </rPr>
      <t xml:space="preserve">chapter 7, pages 77-98, and </t>
    </r>
    <r>
      <rPr>
        <i/>
        <sz val="11"/>
        <color rgb="FF000000"/>
        <rFont val="Times New Roman"/>
        <family val="1"/>
      </rPr>
      <t xml:space="preserve">Śūraṅgama Sūtra </t>
    </r>
    <r>
      <rPr>
        <sz val="11"/>
        <color rgb="FF000000"/>
        <rFont val="Times New Roman"/>
        <family val="1"/>
      </rPr>
      <t xml:space="preserve">pages 329-43 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 xml:space="preserve">chapter 11, pages 313-323 (verse 29) </t>
    </r>
    <r>
      <rPr>
        <i/>
        <sz val="11"/>
        <color rgb="FF000000"/>
        <rFont val="Times New Roman"/>
        <family val="1"/>
      </rPr>
      <t xml:space="preserve">The Interpretation of the Buddha Land </t>
    </r>
    <r>
      <rPr>
        <sz val="11"/>
        <color rgb="FF000000"/>
        <rFont val="Times New Roman"/>
        <family val="1"/>
      </rPr>
      <t>pages 193-195 </t>
    </r>
  </si>
  <si>
    <t>obstacles on the path and concepts related to liberation </t>
  </si>
  <si>
    <r>
      <t xml:space="preserve">Vasubandhu’s </t>
    </r>
    <r>
      <rPr>
        <i/>
        <sz val="11"/>
        <color rgb="FF000000"/>
        <rFont val="Times New Roman"/>
        <family val="1"/>
      </rPr>
      <t xml:space="preserve">Triṃśikā </t>
    </r>
    <r>
      <rPr>
        <sz val="11"/>
        <color rgb="FF000000"/>
        <rFont val="Times New Roman"/>
        <family val="1"/>
      </rPr>
      <t>verses 29-30 </t>
    </r>
  </si>
  <si>
    <r>
      <t xml:space="preserve">Maitreya and Vasubandhu’s </t>
    </r>
    <r>
      <rPr>
        <i/>
        <sz val="11"/>
        <color rgb="FF000000"/>
        <rFont val="Times New Roman"/>
        <family val="1"/>
      </rPr>
      <t xml:space="preserve">Madhyāntavibhāgabhāṣyam </t>
    </r>
    <r>
      <rPr>
        <sz val="11"/>
        <color rgb="FF000000"/>
        <rFont val="Times New Roman"/>
        <family val="1"/>
      </rPr>
      <t xml:space="preserve">chapter 2, pages 131-141 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 xml:space="preserve">chapter 11, pages 323-40 </t>
    </r>
    <r>
      <rPr>
        <i/>
        <sz val="11"/>
        <color rgb="FF000000"/>
        <rFont val="Times New Roman"/>
        <family val="1"/>
      </rPr>
      <t xml:space="preserve">Saddharmasmṛtyupasthānasūtra </t>
    </r>
    <r>
      <rPr>
        <sz val="11"/>
        <color rgb="FF000000"/>
        <rFont val="Times New Roman"/>
        <family val="1"/>
      </rPr>
      <t>chapter 2, pages 525-527 </t>
    </r>
  </si>
  <si>
    <r>
      <t xml:space="preserve">Laṅkāvatārasūtra </t>
    </r>
    <r>
      <rPr>
        <sz val="11"/>
        <color rgb="FF000000"/>
        <rFont val="Times New Roman"/>
        <family val="1"/>
      </rPr>
      <t xml:space="preserve">pages 256-61; optional: </t>
    </r>
    <r>
      <rPr>
        <i/>
        <sz val="11"/>
        <color rgb="FF000000"/>
        <rFont val="Times New Roman"/>
        <family val="1"/>
      </rPr>
      <t xml:space="preserve">Saṃdhinirmocanasūtra </t>
    </r>
    <r>
      <rPr>
        <sz val="11"/>
        <color rgb="FF000000"/>
        <rFont val="Times New Roman"/>
        <family val="1"/>
      </rPr>
      <t xml:space="preserve">chapter 8, pp 99-112 Asaṅga’s </t>
    </r>
    <r>
      <rPr>
        <i/>
        <sz val="11"/>
        <color rgb="FF000000"/>
        <rFont val="Times New Roman"/>
        <family val="1"/>
      </rPr>
      <t xml:space="preserve">Mahāyānasaṃgraha </t>
    </r>
    <r>
      <rPr>
        <sz val="11"/>
        <color rgb="FF000000"/>
        <rFont val="Times New Roman"/>
        <family val="1"/>
      </rPr>
      <t>chapter 10, pages 103-119 </t>
    </r>
  </si>
  <si>
    <r>
      <t xml:space="preserve">Xuanzang’s </t>
    </r>
    <r>
      <rPr>
        <i/>
        <sz val="11"/>
        <color rgb="FF000000"/>
        <rFont val="Times New Roman"/>
        <family val="1"/>
      </rPr>
      <t xml:space="preserve">Three Texts on Consciousness Only </t>
    </r>
    <r>
      <rPr>
        <sz val="11"/>
        <color rgb="FF000000"/>
        <rFont val="Times New Roman"/>
        <family val="1"/>
      </rPr>
      <t>chapters 12-14, pages 341-367 (verses  29-30) </t>
    </r>
  </si>
  <si>
    <r>
      <t xml:space="preserve">The Interpretation of the Buddha Land </t>
    </r>
    <r>
      <rPr>
        <sz val="11"/>
        <color rgb="FF000000"/>
        <rFont val="Times New Roman"/>
        <family val="1"/>
      </rPr>
      <t>pages 12-13, 19-20, 24-25, 107-111 CE: the pure land as the mind of wisdom, as “pure conscious construction”</t>
    </r>
  </si>
  <si>
    <r>
      <t xml:space="preserve">Vasubandhu’s </t>
    </r>
    <r>
      <rPr>
        <i/>
        <sz val="11"/>
        <color rgb="FF000000"/>
        <rFont val="Times New Roman"/>
        <family val="1"/>
      </rPr>
      <t>Twenty Verses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</si>
</sst>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u/>
      <sz val="11"/>
      <color rgb="FF0000FF"/>
      <name val="Times New Roman"/>
      <family val="1"/>
    </font>
    <font>
      <sz val="11"/>
      <color rgb="FF222222"/>
      <name val="Times New Roman"/>
      <family val="1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5" fillId="0" borderId="1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4" fontId="4" fillId="0" borderId="0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zoomScale="85" zoomScaleNormal="85" workbookViewId="0">
      <pane ySplit="1" topLeftCell="A8" activePane="bottomLeft" state="frozen"/>
      <selection pane="bottomLeft" activeCell="F9" sqref="F9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>
        <v>46252</v>
      </c>
      <c r="B2" s="3" t="s">
        <v>4</v>
      </c>
      <c r="C2" s="4" t="s">
        <v>5</v>
      </c>
    </row>
    <row r="3" spans="1:3" x14ac:dyDescent="0.35">
      <c r="A3" s="2">
        <v>46259</v>
      </c>
      <c r="B3" s="3" t="s">
        <v>4</v>
      </c>
      <c r="C3" s="4" t="s">
        <v>6</v>
      </c>
    </row>
    <row r="4" spans="1:3" ht="25" x14ac:dyDescent="0.35">
      <c r="A4" s="2">
        <v>46259</v>
      </c>
      <c r="B4" s="3" t="s">
        <v>4</v>
      </c>
      <c r="C4" s="4" t="s">
        <v>7</v>
      </c>
    </row>
    <row r="5" spans="1:3" ht="25" x14ac:dyDescent="0.35">
      <c r="A5" s="2">
        <v>46266</v>
      </c>
      <c r="B5" s="3" t="s">
        <v>4</v>
      </c>
      <c r="C5" s="7" t="s">
        <v>76</v>
      </c>
    </row>
    <row r="6" spans="1:3" ht="25" x14ac:dyDescent="0.35">
      <c r="A6" s="2">
        <v>46273</v>
      </c>
      <c r="B6" s="3" t="s">
        <v>4</v>
      </c>
      <c r="C6" s="4" t="s">
        <v>47</v>
      </c>
    </row>
    <row r="7" spans="1:3" x14ac:dyDescent="0.35">
      <c r="A7" s="2">
        <v>46280</v>
      </c>
      <c r="B7" s="3" t="s">
        <v>4</v>
      </c>
      <c r="C7" s="4" t="s">
        <v>48</v>
      </c>
    </row>
    <row r="8" spans="1:3" ht="25" x14ac:dyDescent="0.35">
      <c r="A8" s="2">
        <v>46280</v>
      </c>
      <c r="B8" s="3" t="s">
        <v>4</v>
      </c>
      <c r="C8" s="4" t="s">
        <v>49</v>
      </c>
    </row>
    <row r="9" spans="1:3" ht="37.5" x14ac:dyDescent="0.35">
      <c r="A9" s="2">
        <v>46280</v>
      </c>
      <c r="B9" s="3" t="s">
        <v>4</v>
      </c>
      <c r="C9" s="4" t="s">
        <v>50</v>
      </c>
    </row>
    <row r="10" spans="1:3" ht="50" x14ac:dyDescent="0.35">
      <c r="A10" s="2">
        <v>46287</v>
      </c>
      <c r="B10" s="3" t="s">
        <v>4</v>
      </c>
      <c r="C10" s="7" t="s">
        <v>51</v>
      </c>
    </row>
    <row r="11" spans="1:3" ht="25" x14ac:dyDescent="0.35">
      <c r="A11" s="2">
        <v>46287</v>
      </c>
      <c r="B11" s="3" t="s">
        <v>8</v>
      </c>
      <c r="C11" s="4" t="s">
        <v>52</v>
      </c>
    </row>
    <row r="12" spans="1:3" ht="125" x14ac:dyDescent="0.35">
      <c r="A12" s="2">
        <v>46287</v>
      </c>
      <c r="B12" s="3" t="s">
        <v>4</v>
      </c>
      <c r="C12" s="4" t="s">
        <v>55</v>
      </c>
    </row>
    <row r="13" spans="1:3" ht="87.5" x14ac:dyDescent="0.35">
      <c r="A13" s="2">
        <v>46301</v>
      </c>
      <c r="B13" s="3" t="s">
        <v>4</v>
      </c>
      <c r="C13" s="4" t="s">
        <v>54</v>
      </c>
    </row>
    <row r="14" spans="1:3" ht="25" x14ac:dyDescent="0.35">
      <c r="A14" s="2">
        <v>46301</v>
      </c>
      <c r="B14" s="3" t="s">
        <v>4</v>
      </c>
      <c r="C14" s="4" t="s">
        <v>9</v>
      </c>
    </row>
    <row r="15" spans="1:3" ht="25" x14ac:dyDescent="0.35">
      <c r="A15" s="2">
        <v>46308</v>
      </c>
      <c r="B15" s="3" t="s">
        <v>4</v>
      </c>
      <c r="C15" s="4" t="s">
        <v>10</v>
      </c>
    </row>
    <row r="16" spans="1:3" x14ac:dyDescent="0.35">
      <c r="A16" s="2">
        <v>46308</v>
      </c>
      <c r="B16" s="3" t="s">
        <v>4</v>
      </c>
      <c r="C16" s="4" t="s">
        <v>11</v>
      </c>
    </row>
    <row r="17" spans="1:3" ht="37.5" x14ac:dyDescent="0.35">
      <c r="A17" s="2">
        <v>46315</v>
      </c>
      <c r="B17" s="3" t="s">
        <v>4</v>
      </c>
      <c r="C17" s="4" t="s">
        <v>53</v>
      </c>
    </row>
    <row r="18" spans="1:3" x14ac:dyDescent="0.35">
      <c r="A18" s="2">
        <v>46315</v>
      </c>
      <c r="B18" s="3" t="s">
        <v>12</v>
      </c>
      <c r="C18" s="4" t="s">
        <v>13</v>
      </c>
    </row>
    <row r="19" spans="1:3" ht="37.5" x14ac:dyDescent="0.35">
      <c r="A19" s="2">
        <v>46322</v>
      </c>
      <c r="B19" s="3" t="s">
        <v>4</v>
      </c>
      <c r="C19" s="4" t="s">
        <v>56</v>
      </c>
    </row>
    <row r="20" spans="1:3" ht="37.5" x14ac:dyDescent="0.35">
      <c r="A20" s="2">
        <v>46329</v>
      </c>
      <c r="B20" s="3" t="s">
        <v>4</v>
      </c>
      <c r="C20" s="4" t="s">
        <v>57</v>
      </c>
    </row>
    <row r="21" spans="1:3" ht="112.5" x14ac:dyDescent="0.35">
      <c r="A21" s="2">
        <v>46336</v>
      </c>
      <c r="B21" s="3" t="s">
        <v>4</v>
      </c>
      <c r="C21" s="4" t="s">
        <v>58</v>
      </c>
    </row>
    <row r="22" spans="1:3" ht="75" x14ac:dyDescent="0.35">
      <c r="A22" s="2">
        <v>46350</v>
      </c>
      <c r="B22" s="3" t="s">
        <v>4</v>
      </c>
      <c r="C22" s="4" t="s">
        <v>59</v>
      </c>
    </row>
    <row r="23" spans="1:3" ht="25" x14ac:dyDescent="0.35">
      <c r="A23" s="2">
        <v>46357</v>
      </c>
      <c r="B23" s="3" t="s">
        <v>4</v>
      </c>
      <c r="C23" s="4" t="s">
        <v>60</v>
      </c>
    </row>
    <row r="24" spans="1:3" ht="25" x14ac:dyDescent="0.35">
      <c r="A24" s="2">
        <v>46357</v>
      </c>
      <c r="B24" s="3" t="s">
        <v>4</v>
      </c>
      <c r="C24" s="4" t="s">
        <v>61</v>
      </c>
    </row>
    <row r="25" spans="1:3" x14ac:dyDescent="0.35">
      <c r="A25" s="2">
        <v>46357</v>
      </c>
      <c r="B25" s="3" t="s">
        <v>12</v>
      </c>
      <c r="C25" s="4" t="s">
        <v>14</v>
      </c>
    </row>
    <row r="26" spans="1:3" x14ac:dyDescent="0.35">
      <c r="A26" s="2">
        <v>46364</v>
      </c>
      <c r="B26" s="3" t="s">
        <v>8</v>
      </c>
      <c r="C26" s="4" t="s">
        <v>15</v>
      </c>
    </row>
  </sheetData>
  <dataValidations count="1">
    <dataValidation type="list" allowBlank="1" sqref="B2:B94" xr:uid="{00000000-0002-0000-00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zoomScaleNormal="100" workbookViewId="0">
      <pane ySplit="1" topLeftCell="A2" activePane="bottomLeft" state="frozen"/>
      <selection pane="bottomLeft" activeCell="D8" sqref="D8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ht="25" x14ac:dyDescent="0.35">
      <c r="A2" s="2">
        <v>46253</v>
      </c>
      <c r="B2" s="3" t="s">
        <v>4</v>
      </c>
      <c r="C2" s="4" t="s">
        <v>62</v>
      </c>
    </row>
    <row r="3" spans="1:3" ht="25" x14ac:dyDescent="0.35">
      <c r="A3" s="2">
        <v>46260</v>
      </c>
      <c r="B3" s="3" t="s">
        <v>4</v>
      </c>
      <c r="C3" s="4" t="s">
        <v>63</v>
      </c>
    </row>
    <row r="4" spans="1:3" ht="25" x14ac:dyDescent="0.35">
      <c r="A4" s="2">
        <v>46267</v>
      </c>
      <c r="B4" s="3" t="s">
        <v>4</v>
      </c>
      <c r="C4" s="4" t="s">
        <v>64</v>
      </c>
    </row>
    <row r="5" spans="1:3" ht="25" x14ac:dyDescent="0.35">
      <c r="A5" s="2">
        <v>46274</v>
      </c>
      <c r="B5" s="3" t="s">
        <v>4</v>
      </c>
      <c r="C5" s="4" t="s">
        <v>65</v>
      </c>
    </row>
    <row r="6" spans="1:3" ht="25" x14ac:dyDescent="0.35">
      <c r="A6" s="2">
        <v>46281</v>
      </c>
      <c r="B6" s="3" t="s">
        <v>4</v>
      </c>
      <c r="C6" s="4" t="s">
        <v>66</v>
      </c>
    </row>
    <row r="7" spans="1:3" ht="25" x14ac:dyDescent="0.35">
      <c r="A7" s="2">
        <v>46288</v>
      </c>
      <c r="B7" s="3" t="s">
        <v>4</v>
      </c>
      <c r="C7" s="4" t="s">
        <v>67</v>
      </c>
    </row>
    <row r="8" spans="1:3" ht="25" x14ac:dyDescent="0.35">
      <c r="A8" s="2">
        <v>46302</v>
      </c>
      <c r="B8" s="3" t="s">
        <v>4</v>
      </c>
      <c r="C8" s="4" t="s">
        <v>68</v>
      </c>
    </row>
    <row r="9" spans="1:3" ht="25" x14ac:dyDescent="0.35">
      <c r="A9" s="2">
        <v>46309</v>
      </c>
      <c r="B9" s="3" t="s">
        <v>4</v>
      </c>
      <c r="C9" s="4" t="s">
        <v>69</v>
      </c>
    </row>
    <row r="10" spans="1:3" ht="25" x14ac:dyDescent="0.35">
      <c r="A10" s="2">
        <v>46316</v>
      </c>
      <c r="B10" s="3" t="s">
        <v>4</v>
      </c>
      <c r="C10" s="4" t="s">
        <v>70</v>
      </c>
    </row>
    <row r="11" spans="1:3" ht="25" x14ac:dyDescent="0.35">
      <c r="A11" s="2">
        <v>46323</v>
      </c>
      <c r="B11" s="3" t="s">
        <v>4</v>
      </c>
      <c r="C11" s="4" t="s">
        <v>71</v>
      </c>
    </row>
    <row r="12" spans="1:3" ht="25" x14ac:dyDescent="0.35">
      <c r="A12" s="2">
        <v>46330</v>
      </c>
      <c r="B12" s="3" t="s">
        <v>4</v>
      </c>
      <c r="C12" s="4" t="s">
        <v>72</v>
      </c>
    </row>
    <row r="13" spans="1:3" ht="25" x14ac:dyDescent="0.35">
      <c r="A13" s="2">
        <v>46337</v>
      </c>
      <c r="B13" s="3" t="s">
        <v>4</v>
      </c>
      <c r="C13" s="4" t="s">
        <v>73</v>
      </c>
    </row>
    <row r="14" spans="1:3" ht="25" x14ac:dyDescent="0.35">
      <c r="A14" s="2">
        <v>46358</v>
      </c>
      <c r="B14" s="3" t="s">
        <v>4</v>
      </c>
      <c r="C14" s="4" t="s">
        <v>74</v>
      </c>
    </row>
    <row r="15" spans="1:3" ht="25" x14ac:dyDescent="0.35">
      <c r="A15" s="2">
        <v>46365</v>
      </c>
      <c r="B15" s="3" t="s">
        <v>4</v>
      </c>
      <c r="C15" s="4" t="s">
        <v>75</v>
      </c>
    </row>
  </sheetData>
  <dataValidations count="1">
    <dataValidation type="list" allowBlank="1" sqref="B2:B97" xr:uid="{00000000-0002-0000-01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70B2-647E-4D5B-B46C-F4C853F29653}">
  <dimension ref="A1:C25"/>
  <sheetViews>
    <sheetView zoomScaleNormal="100" workbookViewId="0">
      <pane ySplit="1" topLeftCell="A2" activePane="bottomLeft" state="frozen"/>
      <selection pane="bottomLeft" sqref="A1:C1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>
        <v>46258</v>
      </c>
      <c r="B2" s="3" t="s">
        <v>16</v>
      </c>
      <c r="C2" s="4" t="s">
        <v>44</v>
      </c>
    </row>
    <row r="3" spans="1:3" x14ac:dyDescent="0.35">
      <c r="A3" s="2">
        <v>46279</v>
      </c>
      <c r="B3" s="3" t="s">
        <v>16</v>
      </c>
      <c r="C3" s="4" t="s">
        <v>45</v>
      </c>
    </row>
    <row r="4" spans="1:3" x14ac:dyDescent="0.35">
      <c r="A4" s="2">
        <v>46321</v>
      </c>
      <c r="B4" s="3" t="s">
        <v>16</v>
      </c>
      <c r="C4" s="4" t="s">
        <v>17</v>
      </c>
    </row>
    <row r="5" spans="1:3" x14ac:dyDescent="0.35">
      <c r="A5" s="2">
        <v>46363</v>
      </c>
      <c r="B5" s="3" t="s">
        <v>16</v>
      </c>
      <c r="C5" s="3" t="s">
        <v>46</v>
      </c>
    </row>
    <row r="6" spans="1:3" x14ac:dyDescent="0.35">
      <c r="A6" s="2"/>
      <c r="B6" s="3"/>
      <c r="C6" s="4"/>
    </row>
    <row r="7" spans="1:3" x14ac:dyDescent="0.35">
      <c r="A7" s="2"/>
      <c r="B7" s="3"/>
      <c r="C7" s="4"/>
    </row>
    <row r="8" spans="1:3" x14ac:dyDescent="0.35">
      <c r="A8" s="2"/>
      <c r="B8" s="3"/>
      <c r="C8" s="4"/>
    </row>
    <row r="9" spans="1:3" x14ac:dyDescent="0.35">
      <c r="A9" s="2"/>
      <c r="B9" s="3"/>
      <c r="C9" s="4"/>
    </row>
    <row r="10" spans="1:3" x14ac:dyDescent="0.35">
      <c r="A10" s="2"/>
      <c r="B10" s="3"/>
      <c r="C10" s="4"/>
    </row>
    <row r="11" spans="1:3" x14ac:dyDescent="0.35">
      <c r="A11" s="2"/>
      <c r="B11" s="3"/>
      <c r="C11" s="4"/>
    </row>
    <row r="12" spans="1:3" x14ac:dyDescent="0.35">
      <c r="A12" s="2"/>
      <c r="B12" s="3"/>
      <c r="C12" s="4"/>
    </row>
    <row r="13" spans="1:3" x14ac:dyDescent="0.35">
      <c r="A13" s="2"/>
      <c r="B13" s="3"/>
      <c r="C13" s="4"/>
    </row>
    <row r="14" spans="1:3" x14ac:dyDescent="0.35">
      <c r="A14" s="2"/>
      <c r="B14" s="3"/>
      <c r="C14" s="4"/>
    </row>
    <row r="15" spans="1:3" x14ac:dyDescent="0.35">
      <c r="A15" s="2"/>
      <c r="B15" s="3"/>
      <c r="C15" s="4"/>
    </row>
    <row r="16" spans="1:3" x14ac:dyDescent="0.35">
      <c r="A16" s="2"/>
      <c r="B16" s="3"/>
      <c r="C16" s="4"/>
    </row>
    <row r="17" spans="1:3" x14ac:dyDescent="0.35">
      <c r="A17" s="2"/>
      <c r="B17" s="3"/>
      <c r="C17" s="4"/>
    </row>
    <row r="18" spans="1:3" x14ac:dyDescent="0.35">
      <c r="A18" s="2"/>
      <c r="B18" s="3"/>
      <c r="C18" s="4"/>
    </row>
    <row r="19" spans="1:3" x14ac:dyDescent="0.35">
      <c r="A19" s="2"/>
      <c r="B19" s="3"/>
      <c r="C19" s="4"/>
    </row>
    <row r="20" spans="1:3" x14ac:dyDescent="0.35">
      <c r="A20" s="2"/>
      <c r="B20" s="3"/>
      <c r="C20" s="4"/>
    </row>
    <row r="21" spans="1:3" x14ac:dyDescent="0.35">
      <c r="A21" s="2"/>
      <c r="B21" s="3"/>
      <c r="C21" s="4"/>
    </row>
    <row r="22" spans="1:3" x14ac:dyDescent="0.35">
      <c r="A22" s="2"/>
      <c r="B22" s="3"/>
      <c r="C22" s="4"/>
    </row>
    <row r="23" spans="1:3" x14ac:dyDescent="0.35">
      <c r="A23" s="2"/>
      <c r="B23" s="3"/>
      <c r="C23" s="4"/>
    </row>
    <row r="24" spans="1:3" x14ac:dyDescent="0.35">
      <c r="A24" s="2"/>
      <c r="B24" s="3"/>
      <c r="C24" s="4"/>
    </row>
    <row r="25" spans="1:3" x14ac:dyDescent="0.35">
      <c r="A25" s="2"/>
      <c r="B25" s="3"/>
      <c r="C25" s="4"/>
    </row>
  </sheetData>
  <dataValidations count="1">
    <dataValidation type="list" allowBlank="1" sqref="B2:B100 C5" xr:uid="{965DA8AA-E6A0-46D0-9C20-DA2DF2843651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5039-6F5E-44B8-A3D5-1443D314967F}">
  <dimension ref="A1:C64"/>
  <sheetViews>
    <sheetView tabSelected="1" topLeftCell="A54" workbookViewId="0">
      <selection activeCell="C60" sqref="C60"/>
    </sheetView>
  </sheetViews>
  <sheetFormatPr defaultRowHeight="14.5" x14ac:dyDescent="0.35"/>
  <cols>
    <col min="1" max="2" width="12.90625" style="20" customWidth="1"/>
    <col min="3" max="3" width="53.36328125" style="15" customWidth="1"/>
  </cols>
  <sheetData>
    <row r="1" spans="1:3" ht="15" thickBot="1" x14ac:dyDescent="0.4">
      <c r="A1" s="1" t="s">
        <v>0</v>
      </c>
      <c r="B1" s="1" t="s">
        <v>1</v>
      </c>
      <c r="C1" s="1" t="s">
        <v>2</v>
      </c>
    </row>
    <row r="2" spans="1:3" ht="15" thickBot="1" x14ac:dyDescent="0.4">
      <c r="A2" s="20">
        <v>46254</v>
      </c>
      <c r="B2" s="20" t="s">
        <v>4</v>
      </c>
      <c r="C2" s="9" t="s">
        <v>80</v>
      </c>
    </row>
    <row r="3" spans="1:3" x14ac:dyDescent="0.35">
      <c r="A3" s="20">
        <v>46261</v>
      </c>
      <c r="B3" s="20" t="s">
        <v>4</v>
      </c>
      <c r="C3" s="11" t="s">
        <v>81</v>
      </c>
    </row>
    <row r="4" spans="1:3" ht="15" thickBot="1" x14ac:dyDescent="0.4">
      <c r="A4" s="20">
        <f t="shared" ref="A4:A28" si="0">A3</f>
        <v>46261</v>
      </c>
      <c r="B4" s="20" t="s">
        <v>4</v>
      </c>
      <c r="C4" s="12" t="s">
        <v>82</v>
      </c>
    </row>
    <row r="5" spans="1:3" x14ac:dyDescent="0.35">
      <c r="A5" s="20">
        <v>46268</v>
      </c>
      <c r="B5" s="20" t="s">
        <v>4</v>
      </c>
      <c r="C5" s="11" t="s">
        <v>83</v>
      </c>
    </row>
    <row r="6" spans="1:3" x14ac:dyDescent="0.35">
      <c r="A6" s="20">
        <f t="shared" si="0"/>
        <v>46268</v>
      </c>
      <c r="B6" s="20" t="s">
        <v>4</v>
      </c>
      <c r="C6" s="13" t="s">
        <v>84</v>
      </c>
    </row>
    <row r="7" spans="1:3" x14ac:dyDescent="0.35">
      <c r="A7" s="20">
        <f t="shared" si="0"/>
        <v>46268</v>
      </c>
      <c r="B7" s="20" t="s">
        <v>4</v>
      </c>
      <c r="C7" s="12" t="s">
        <v>85</v>
      </c>
    </row>
    <row r="8" spans="1:3" x14ac:dyDescent="0.35">
      <c r="A8" s="20">
        <f t="shared" si="0"/>
        <v>46268</v>
      </c>
      <c r="B8" s="20" t="s">
        <v>4</v>
      </c>
      <c r="C8" s="12" t="s">
        <v>86</v>
      </c>
    </row>
    <row r="9" spans="1:3" x14ac:dyDescent="0.35">
      <c r="A9" s="20">
        <f t="shared" si="0"/>
        <v>46268</v>
      </c>
      <c r="B9" s="20" t="s">
        <v>4</v>
      </c>
      <c r="C9" s="13" t="s">
        <v>87</v>
      </c>
    </row>
    <row r="10" spans="1:3" ht="15" thickBot="1" x14ac:dyDescent="0.4">
      <c r="A10" s="20">
        <f t="shared" si="0"/>
        <v>46268</v>
      </c>
      <c r="B10" s="20" t="s">
        <v>4</v>
      </c>
      <c r="C10" s="12" t="s">
        <v>88</v>
      </c>
    </row>
    <row r="11" spans="1:3" x14ac:dyDescent="0.35">
      <c r="A11" s="20">
        <v>46275</v>
      </c>
      <c r="B11" s="20" t="s">
        <v>4</v>
      </c>
      <c r="C11" s="14" t="s">
        <v>89</v>
      </c>
    </row>
    <row r="12" spans="1:3" x14ac:dyDescent="0.35">
      <c r="A12" s="20">
        <f t="shared" si="0"/>
        <v>46275</v>
      </c>
      <c r="B12" s="20" t="s">
        <v>4</v>
      </c>
      <c r="C12" s="13" t="s">
        <v>90</v>
      </c>
    </row>
    <row r="13" spans="1:3" x14ac:dyDescent="0.35">
      <c r="A13" s="20">
        <f t="shared" si="0"/>
        <v>46275</v>
      </c>
      <c r="B13" s="20" t="s">
        <v>4</v>
      </c>
      <c r="C13" s="12" t="s">
        <v>91</v>
      </c>
    </row>
    <row r="14" spans="1:3" x14ac:dyDescent="0.35">
      <c r="A14" s="20">
        <f t="shared" si="0"/>
        <v>46275</v>
      </c>
      <c r="B14" s="20" t="s">
        <v>4</v>
      </c>
      <c r="C14" s="13" t="s">
        <v>92</v>
      </c>
    </row>
    <row r="15" spans="1:3" x14ac:dyDescent="0.35">
      <c r="A15" s="20">
        <f t="shared" si="0"/>
        <v>46275</v>
      </c>
      <c r="B15" s="20" t="s">
        <v>4</v>
      </c>
      <c r="C15" s="12" t="s">
        <v>93</v>
      </c>
    </row>
    <row r="16" spans="1:3" x14ac:dyDescent="0.35">
      <c r="A16" s="20">
        <f t="shared" si="0"/>
        <v>46275</v>
      </c>
      <c r="B16" s="20" t="s">
        <v>4</v>
      </c>
      <c r="C16" s="13" t="s">
        <v>94</v>
      </c>
    </row>
    <row r="17" spans="1:3" ht="15" thickBot="1" x14ac:dyDescent="0.4">
      <c r="A17" s="20">
        <f t="shared" si="0"/>
        <v>46275</v>
      </c>
      <c r="B17" s="20" t="s">
        <v>4</v>
      </c>
      <c r="C17" s="12" t="s">
        <v>95</v>
      </c>
    </row>
    <row r="18" spans="1:3" x14ac:dyDescent="0.35">
      <c r="A18" s="20">
        <v>46282</v>
      </c>
      <c r="B18" s="20" t="s">
        <v>4</v>
      </c>
      <c r="C18" s="14" t="s">
        <v>96</v>
      </c>
    </row>
    <row r="19" spans="1:3" x14ac:dyDescent="0.35">
      <c r="A19" s="20">
        <f t="shared" si="0"/>
        <v>46282</v>
      </c>
      <c r="B19" s="20" t="s">
        <v>4</v>
      </c>
      <c r="C19" s="13" t="s">
        <v>97</v>
      </c>
    </row>
    <row r="20" spans="1:3" x14ac:dyDescent="0.35">
      <c r="A20" s="20">
        <f t="shared" si="0"/>
        <v>46282</v>
      </c>
      <c r="B20" s="20" t="s">
        <v>4</v>
      </c>
      <c r="C20" s="13" t="s">
        <v>98</v>
      </c>
    </row>
    <row r="21" spans="1:3" ht="15" thickBot="1" x14ac:dyDescent="0.4">
      <c r="A21" s="20">
        <f t="shared" si="0"/>
        <v>46282</v>
      </c>
      <c r="B21" s="20" t="s">
        <v>4</v>
      </c>
      <c r="C21" s="13" t="s">
        <v>99</v>
      </c>
    </row>
    <row r="22" spans="1:3" x14ac:dyDescent="0.35">
      <c r="A22" s="20">
        <v>46289</v>
      </c>
      <c r="B22" s="20" t="s">
        <v>4</v>
      </c>
      <c r="C22" s="14" t="s">
        <v>100</v>
      </c>
    </row>
    <row r="23" spans="1:3" ht="15" thickBot="1" x14ac:dyDescent="0.4">
      <c r="A23" s="20">
        <f t="shared" si="0"/>
        <v>46289</v>
      </c>
      <c r="B23" s="20" t="s">
        <v>4</v>
      </c>
      <c r="C23" s="10" t="s">
        <v>101</v>
      </c>
    </row>
    <row r="24" spans="1:3" x14ac:dyDescent="0.35">
      <c r="A24" s="20">
        <f t="shared" si="0"/>
        <v>46289</v>
      </c>
      <c r="B24" s="20" t="s">
        <v>4</v>
      </c>
      <c r="C24" s="16" t="s">
        <v>102</v>
      </c>
    </row>
    <row r="25" spans="1:3" x14ac:dyDescent="0.35">
      <c r="A25" s="20">
        <f t="shared" si="0"/>
        <v>46289</v>
      </c>
      <c r="B25" s="20" t="s">
        <v>4</v>
      </c>
      <c r="C25" s="13" t="s">
        <v>103</v>
      </c>
    </row>
    <row r="26" spans="1:3" x14ac:dyDescent="0.35">
      <c r="A26" s="20">
        <f t="shared" si="0"/>
        <v>46289</v>
      </c>
      <c r="B26" s="20" t="s">
        <v>4</v>
      </c>
      <c r="C26" s="13" t="s">
        <v>104</v>
      </c>
    </row>
    <row r="27" spans="1:3" x14ac:dyDescent="0.35">
      <c r="A27" s="20">
        <f t="shared" si="0"/>
        <v>46289</v>
      </c>
      <c r="B27" s="20" t="s">
        <v>4</v>
      </c>
      <c r="C27" s="12" t="s">
        <v>105</v>
      </c>
    </row>
    <row r="28" spans="1:3" ht="15" thickBot="1" x14ac:dyDescent="0.4">
      <c r="A28" s="20">
        <f t="shared" si="0"/>
        <v>46289</v>
      </c>
      <c r="B28" s="20" t="s">
        <v>4</v>
      </c>
      <c r="C28" s="12" t="s">
        <v>106</v>
      </c>
    </row>
    <row r="29" spans="1:3" x14ac:dyDescent="0.35">
      <c r="A29" s="20">
        <v>46303</v>
      </c>
      <c r="B29" s="20" t="s">
        <v>4</v>
      </c>
      <c r="C29" s="14" t="s">
        <v>107</v>
      </c>
    </row>
    <row r="30" spans="1:3" x14ac:dyDescent="0.35">
      <c r="A30" s="20">
        <f t="shared" ref="A30:A32" si="1">A29</f>
        <v>46303</v>
      </c>
      <c r="B30" s="20" t="s">
        <v>4</v>
      </c>
      <c r="C30" s="13" t="s">
        <v>108</v>
      </c>
    </row>
    <row r="31" spans="1:3" x14ac:dyDescent="0.35">
      <c r="A31" s="20">
        <f t="shared" si="1"/>
        <v>46303</v>
      </c>
      <c r="B31" s="20" t="s">
        <v>4</v>
      </c>
      <c r="C31" s="13" t="s">
        <v>109</v>
      </c>
    </row>
    <row r="32" spans="1:3" ht="15" thickBot="1" x14ac:dyDescent="0.4">
      <c r="A32" s="20">
        <f t="shared" si="1"/>
        <v>46303</v>
      </c>
      <c r="B32" s="20" t="s">
        <v>4</v>
      </c>
      <c r="C32" s="13" t="s">
        <v>110</v>
      </c>
    </row>
    <row r="33" spans="1:3" x14ac:dyDescent="0.35">
      <c r="A33" s="20">
        <v>46310</v>
      </c>
      <c r="B33" s="20" t="s">
        <v>4</v>
      </c>
      <c r="C33" s="14" t="s">
        <v>111</v>
      </c>
    </row>
    <row r="34" spans="1:3" x14ac:dyDescent="0.35">
      <c r="A34" s="20">
        <f t="shared" ref="A34:A37" si="2">A33</f>
        <v>46310</v>
      </c>
      <c r="B34" s="20" t="s">
        <v>4</v>
      </c>
      <c r="C34" s="13" t="s">
        <v>112</v>
      </c>
    </row>
    <row r="35" spans="1:3" x14ac:dyDescent="0.35">
      <c r="A35" s="20">
        <f t="shared" si="2"/>
        <v>46310</v>
      </c>
      <c r="B35" s="20" t="s">
        <v>4</v>
      </c>
      <c r="C35" s="13" t="s">
        <v>113</v>
      </c>
    </row>
    <row r="36" spans="1:3" x14ac:dyDescent="0.35">
      <c r="A36" s="20">
        <f t="shared" si="2"/>
        <v>46310</v>
      </c>
      <c r="B36" s="20" t="s">
        <v>4</v>
      </c>
      <c r="C36" s="12" t="s">
        <v>114</v>
      </c>
    </row>
    <row r="37" spans="1:3" ht="15" thickBot="1" x14ac:dyDescent="0.4">
      <c r="A37" s="20">
        <f t="shared" si="2"/>
        <v>46310</v>
      </c>
      <c r="B37" s="20" t="s">
        <v>4</v>
      </c>
      <c r="C37" s="10" t="s">
        <v>115</v>
      </c>
    </row>
    <row r="38" spans="1:3" x14ac:dyDescent="0.35">
      <c r="A38" s="20">
        <v>46317</v>
      </c>
      <c r="B38" s="20" t="s">
        <v>4</v>
      </c>
      <c r="C38" s="11" t="s">
        <v>116</v>
      </c>
    </row>
    <row r="39" spans="1:3" ht="15" thickBot="1" x14ac:dyDescent="0.4">
      <c r="A39" s="20">
        <f t="shared" ref="A39:A42" si="3">A38</f>
        <v>46317</v>
      </c>
      <c r="B39" s="20" t="s">
        <v>4</v>
      </c>
      <c r="C39" s="10" t="s">
        <v>117</v>
      </c>
    </row>
    <row r="40" spans="1:3" x14ac:dyDescent="0.35">
      <c r="A40" s="20">
        <f t="shared" si="3"/>
        <v>46317</v>
      </c>
      <c r="B40" s="20" t="s">
        <v>4</v>
      </c>
      <c r="C40" s="9" t="s">
        <v>118</v>
      </c>
    </row>
    <row r="41" spans="1:3" x14ac:dyDescent="0.35">
      <c r="A41" s="20">
        <f t="shared" si="3"/>
        <v>46317</v>
      </c>
      <c r="B41" s="20" t="s">
        <v>4</v>
      </c>
      <c r="C41" s="13" t="s">
        <v>119</v>
      </c>
    </row>
    <row r="42" spans="1:3" ht="15" thickBot="1" x14ac:dyDescent="0.4">
      <c r="A42" s="20">
        <f t="shared" si="3"/>
        <v>46317</v>
      </c>
      <c r="B42" s="20" t="s">
        <v>12</v>
      </c>
      <c r="C42" s="17" t="s">
        <v>120</v>
      </c>
    </row>
    <row r="43" spans="1:3" x14ac:dyDescent="0.35">
      <c r="A43" s="20">
        <v>46324</v>
      </c>
      <c r="B43" s="20" t="s">
        <v>4</v>
      </c>
      <c r="C43" s="11" t="s">
        <v>121</v>
      </c>
    </row>
    <row r="44" spans="1:3" x14ac:dyDescent="0.35">
      <c r="A44" s="20">
        <f t="shared" ref="A44:A48" si="4">A43</f>
        <v>46324</v>
      </c>
      <c r="B44" s="20" t="s">
        <v>4</v>
      </c>
      <c r="C44" s="13" t="s">
        <v>122</v>
      </c>
    </row>
    <row r="45" spans="1:3" x14ac:dyDescent="0.35">
      <c r="A45" s="20">
        <f t="shared" si="4"/>
        <v>46324</v>
      </c>
      <c r="B45" s="20" t="s">
        <v>4</v>
      </c>
      <c r="C45" s="13" t="s">
        <v>123</v>
      </c>
    </row>
    <row r="46" spans="1:3" x14ac:dyDescent="0.35">
      <c r="A46" s="20">
        <f t="shared" si="4"/>
        <v>46324</v>
      </c>
      <c r="B46" s="20" t="s">
        <v>4</v>
      </c>
      <c r="C46" s="13" t="s">
        <v>124</v>
      </c>
    </row>
    <row r="47" spans="1:3" x14ac:dyDescent="0.35">
      <c r="A47" s="20">
        <f t="shared" si="4"/>
        <v>46324</v>
      </c>
      <c r="B47" s="20" t="s">
        <v>4</v>
      </c>
      <c r="C47" s="13" t="s">
        <v>125</v>
      </c>
    </row>
    <row r="48" spans="1:3" ht="15" thickBot="1" x14ac:dyDescent="0.4">
      <c r="A48" s="20">
        <f t="shared" si="4"/>
        <v>46324</v>
      </c>
      <c r="B48" s="20" t="s">
        <v>4</v>
      </c>
      <c r="C48" s="13" t="s">
        <v>126</v>
      </c>
    </row>
    <row r="49" spans="1:3" x14ac:dyDescent="0.35">
      <c r="A49" s="20">
        <v>46331</v>
      </c>
      <c r="B49" s="20" t="s">
        <v>4</v>
      </c>
      <c r="C49" s="11" t="s">
        <v>127</v>
      </c>
    </row>
    <row r="50" spans="1:3" x14ac:dyDescent="0.35">
      <c r="A50" s="20">
        <f t="shared" ref="A50:A52" si="5">A49</f>
        <v>46331</v>
      </c>
      <c r="B50" s="20" t="s">
        <v>4</v>
      </c>
      <c r="C50" s="13" t="s">
        <v>128</v>
      </c>
    </row>
    <row r="51" spans="1:3" x14ac:dyDescent="0.35">
      <c r="A51" s="20">
        <f t="shared" si="5"/>
        <v>46331</v>
      </c>
      <c r="B51" s="20" t="s">
        <v>4</v>
      </c>
      <c r="C51" s="13" t="s">
        <v>129</v>
      </c>
    </row>
    <row r="52" spans="1:3" ht="15" thickBot="1" x14ac:dyDescent="0.4">
      <c r="A52" s="20">
        <f t="shared" si="5"/>
        <v>46331</v>
      </c>
      <c r="B52" s="20" t="s">
        <v>4</v>
      </c>
      <c r="C52" s="12" t="s">
        <v>130</v>
      </c>
    </row>
    <row r="53" spans="1:3" x14ac:dyDescent="0.35">
      <c r="A53" s="20">
        <v>46338</v>
      </c>
      <c r="B53" s="20" t="s">
        <v>4</v>
      </c>
      <c r="C53" s="11" t="s">
        <v>131</v>
      </c>
    </row>
    <row r="54" spans="1:3" x14ac:dyDescent="0.35">
      <c r="A54" s="20">
        <f t="shared" ref="A54:A57" si="6">A53</f>
        <v>46338</v>
      </c>
      <c r="B54" s="20" t="s">
        <v>4</v>
      </c>
      <c r="C54" s="13" t="s">
        <v>132</v>
      </c>
    </row>
    <row r="55" spans="1:3" x14ac:dyDescent="0.35">
      <c r="A55" s="20">
        <f t="shared" si="6"/>
        <v>46338</v>
      </c>
      <c r="B55" s="20" t="s">
        <v>4</v>
      </c>
      <c r="C55" s="13" t="s">
        <v>133</v>
      </c>
    </row>
    <row r="56" spans="1:3" x14ac:dyDescent="0.35">
      <c r="A56" s="20">
        <f t="shared" si="6"/>
        <v>46338</v>
      </c>
      <c r="B56" s="20" t="s">
        <v>4</v>
      </c>
      <c r="C56" s="12" t="s">
        <v>134</v>
      </c>
    </row>
    <row r="57" spans="1:3" ht="15" thickBot="1" x14ac:dyDescent="0.4">
      <c r="A57" s="20">
        <f t="shared" si="6"/>
        <v>46338</v>
      </c>
      <c r="B57" s="20" t="s">
        <v>12</v>
      </c>
      <c r="C57" s="18" t="s">
        <v>79</v>
      </c>
    </row>
    <row r="58" spans="1:3" x14ac:dyDescent="0.35">
      <c r="A58" s="20">
        <v>46359</v>
      </c>
      <c r="B58" s="20" t="s">
        <v>4</v>
      </c>
      <c r="C58" s="11" t="s">
        <v>135</v>
      </c>
    </row>
    <row r="59" spans="1:3" x14ac:dyDescent="0.35">
      <c r="A59" s="20">
        <f t="shared" ref="A59:A63" si="7">A58</f>
        <v>46359</v>
      </c>
      <c r="B59" s="20" t="s">
        <v>4</v>
      </c>
      <c r="C59" s="13" t="s">
        <v>136</v>
      </c>
    </row>
    <row r="60" spans="1:3" x14ac:dyDescent="0.35">
      <c r="A60" s="20">
        <f t="shared" si="7"/>
        <v>46359</v>
      </c>
      <c r="B60" s="20" t="s">
        <v>4</v>
      </c>
      <c r="C60" s="13" t="s">
        <v>137</v>
      </c>
    </row>
    <row r="61" spans="1:3" x14ac:dyDescent="0.35">
      <c r="A61" s="20">
        <f t="shared" si="7"/>
        <v>46359</v>
      </c>
      <c r="B61" s="20" t="s">
        <v>4</v>
      </c>
      <c r="C61" s="12" t="s">
        <v>138</v>
      </c>
    </row>
    <row r="62" spans="1:3" x14ac:dyDescent="0.35">
      <c r="A62" s="20">
        <f t="shared" si="7"/>
        <v>46359</v>
      </c>
      <c r="B62" s="20" t="s">
        <v>4</v>
      </c>
      <c r="C62" s="13" t="s">
        <v>139</v>
      </c>
    </row>
    <row r="63" spans="1:3" ht="15" thickBot="1" x14ac:dyDescent="0.4">
      <c r="A63" s="20">
        <f t="shared" si="7"/>
        <v>46359</v>
      </c>
      <c r="B63" s="20" t="s">
        <v>4</v>
      </c>
      <c r="C63" s="19" t="s">
        <v>140</v>
      </c>
    </row>
    <row r="64" spans="1:3" x14ac:dyDescent="0.35">
      <c r="A64" s="20">
        <v>46366</v>
      </c>
      <c r="B64" s="20" t="s">
        <v>4</v>
      </c>
      <c r="C64" s="9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zoomScaleNormal="100" workbookViewId="0">
      <pane ySplit="1" topLeftCell="A3" activePane="bottomLeft" state="frozen"/>
      <selection pane="bottomLeft" activeCell="D18" sqref="D17:D18"/>
    </sheetView>
  </sheetViews>
  <sheetFormatPr defaultColWidth="8.6328125" defaultRowHeight="14.5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</cols>
  <sheetData>
    <row r="1" spans="1:11" x14ac:dyDescent="0.35">
      <c r="A1" s="1" t="s">
        <v>18</v>
      </c>
      <c r="B1" s="1" t="s">
        <v>2</v>
      </c>
      <c r="C1" s="1" t="s">
        <v>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3</v>
      </c>
    </row>
    <row r="2" spans="1:11" x14ac:dyDescent="0.35">
      <c r="A2" s="8" t="s">
        <v>77</v>
      </c>
      <c r="B2" s="4" t="s">
        <v>26</v>
      </c>
      <c r="C2" s="3" t="s">
        <v>12</v>
      </c>
      <c r="D2" s="3" t="s">
        <v>27</v>
      </c>
      <c r="E2" s="3" t="s">
        <v>28</v>
      </c>
      <c r="F2" s="2">
        <v>46257</v>
      </c>
      <c r="G2" s="2">
        <v>46362</v>
      </c>
      <c r="H2" s="3">
        <v>1</v>
      </c>
      <c r="I2" s="3" t="s">
        <v>29</v>
      </c>
      <c r="J2" s="4"/>
      <c r="K2" s="4"/>
    </row>
    <row r="3" spans="1:11" x14ac:dyDescent="0.35">
      <c r="A3" t="s">
        <v>78</v>
      </c>
      <c r="B3" s="4" t="s">
        <v>26</v>
      </c>
      <c r="C3" s="3" t="s">
        <v>12</v>
      </c>
      <c r="D3" s="3" t="s">
        <v>43</v>
      </c>
      <c r="E3" s="3" t="s">
        <v>28</v>
      </c>
      <c r="F3" s="2">
        <v>46258</v>
      </c>
      <c r="G3" s="2">
        <v>46356</v>
      </c>
      <c r="H3" s="3">
        <v>1</v>
      </c>
      <c r="I3" s="3" t="s">
        <v>29</v>
      </c>
    </row>
    <row r="4" spans="1:11" x14ac:dyDescent="0.35">
      <c r="A4" s="5"/>
    </row>
    <row r="5" spans="1:11" x14ac:dyDescent="0.35">
      <c r="A5" s="6" t="s">
        <v>31</v>
      </c>
    </row>
    <row r="6" spans="1:11" x14ac:dyDescent="0.35">
      <c r="A6" s="5" t="s">
        <v>32</v>
      </c>
    </row>
    <row r="7" spans="1:11" x14ac:dyDescent="0.35">
      <c r="A7" s="5" t="s">
        <v>33</v>
      </c>
    </row>
    <row r="8" spans="1:11" x14ac:dyDescent="0.35">
      <c r="A8" s="5" t="s">
        <v>34</v>
      </c>
    </row>
    <row r="9" spans="1:11" x14ac:dyDescent="0.35">
      <c r="A9" s="5" t="s">
        <v>35</v>
      </c>
    </row>
    <row r="10" spans="1:11" x14ac:dyDescent="0.35">
      <c r="A10" s="5" t="s">
        <v>36</v>
      </c>
    </row>
    <row r="11" spans="1:11" x14ac:dyDescent="0.35">
      <c r="A11" s="5" t="s">
        <v>37</v>
      </c>
    </row>
    <row r="12" spans="1:11" x14ac:dyDescent="0.35">
      <c r="A12" s="5" t="s">
        <v>38</v>
      </c>
    </row>
    <row r="13" spans="1:11" x14ac:dyDescent="0.35">
      <c r="A13" s="5" t="s">
        <v>39</v>
      </c>
    </row>
    <row r="14" spans="1:11" x14ac:dyDescent="0.35">
      <c r="A14" s="5" t="s">
        <v>40</v>
      </c>
    </row>
    <row r="15" spans="1:11" x14ac:dyDescent="0.35">
      <c r="A15" s="5" t="s">
        <v>41</v>
      </c>
    </row>
    <row r="16" spans="1:11" x14ac:dyDescent="0.35">
      <c r="A16" s="5" t="s">
        <v>42</v>
      </c>
      <c r="B16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BuddhistHermntk (BudHerm)</vt:lpstr>
      <vt:lpstr>Shurangama Sutra (楞嚴經)</vt:lpstr>
      <vt:lpstr>Sanskrit (संस्कृतम्)</vt:lpstr>
      <vt:lpstr>Yogācāra (Yogācāra)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48995</cp:lastModifiedBy>
  <cp:revision>0</cp:revision>
  <dcterms:created xsi:type="dcterms:W3CDTF">2026-08-19T19:54:36Z</dcterms:created>
  <dcterms:modified xsi:type="dcterms:W3CDTF">2026-08-21T01:13:48Z</dcterms:modified>
  <dc:language>en-US</dc:language>
</cp:coreProperties>
</file>